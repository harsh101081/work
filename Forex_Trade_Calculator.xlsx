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Trade Planner" sheetId="2" state="visible" r:id="rId2"/>
    <sheet name="Instr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"/>
    <numFmt numFmtId="166" formatCode="0.0#"/>
    <numFmt numFmtId="167" formatCode="#,##0.00####"/>
    <numFmt numFmtId="168" formatCode="0.00####"/>
    <numFmt numFmtId="169" formatCode="0.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0F172A"/>
      <sz val="11"/>
    </font>
    <font>
      <name val="Calibri"/>
      <i val="1"/>
      <color rgb="0064748B"/>
      <sz val="9"/>
    </font>
    <font>
      <name val="Calibri"/>
      <b val="1"/>
      <color rgb="000F172A"/>
      <sz val="13"/>
    </font>
    <font>
      <name val="Calibri"/>
      <b val="1"/>
      <color rgb="00DC2626"/>
      <sz val="11"/>
    </font>
    <font>
      <name val="Calibri"/>
      <b val="1"/>
      <color rgb="0016A34A"/>
      <sz val="11"/>
    </font>
    <font>
      <name val="Calibri"/>
      <b val="1"/>
      <color rgb="00B45309"/>
      <sz val="11"/>
    </font>
    <font>
      <name val="Calibri"/>
      <b val="1"/>
      <color rgb="002563EB"/>
      <sz val="12"/>
    </font>
    <font>
      <name val="Calibri"/>
      <color rgb="00DC2626"/>
      <sz val="11"/>
    </font>
    <font>
      <name val="Calibri"/>
      <color rgb="00B45309"/>
      <sz val="11"/>
    </font>
    <font>
      <name val="Calibri"/>
      <color rgb="0016A34A"/>
      <sz val="11"/>
    </font>
    <font>
      <name val="Calibri"/>
      <b val="1"/>
      <color rgb="00FFFFFF"/>
      <sz val="14"/>
    </font>
    <font>
      <name val="Calibri"/>
      <b val="1"/>
      <color rgb="002563EB"/>
      <sz val="11"/>
    </font>
  </fonts>
  <fills count="8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3A8A"/>
      </patternFill>
    </fill>
    <fill>
      <patternFill patternType="solid">
        <fgColor rgb="00FEF3C7"/>
      </patternFill>
    </fill>
    <fill>
      <patternFill patternType="solid">
        <fgColor rgb="00BBF7D0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7" fontId="7" fillId="5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8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" fontId="9" fillId="0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right" vertical="center"/>
    </xf>
    <xf numFmtId="167" fontId="12" fillId="6" borderId="1" applyAlignment="1" pivotButton="0" quotePrefix="0" xfId="0">
      <alignment horizontal="right" vertical="center"/>
    </xf>
    <xf numFmtId="167" fontId="1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2" fontId="16" fillId="6" borderId="1" applyAlignment="1" pivotButton="0" quotePrefix="0" xfId="0">
      <alignment horizontal="right" vertical="center"/>
    </xf>
    <xf numFmtId="164" fontId="1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167" fontId="12" fillId="7" borderId="1" applyAlignment="1" pivotButton="0" quotePrefix="0" xfId="0">
      <alignment horizontal="right" vertical="center"/>
    </xf>
    <xf numFmtId="167" fontId="1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2" fontId="16" fillId="7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B2:D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2" customWidth="1" min="5" max="5"/>
  </cols>
  <sheetData>
    <row r="2" ht="34" customHeight="1">
      <c r="B2" s="1" t="inlineStr">
        <is>
          <t>FOREX  &amp;  PROP-FIRM  TRADE  CALCULATOR</t>
        </is>
      </c>
    </row>
    <row r="3" ht="18" customHeight="1">
      <c r="B3" s="2" t="inlineStr">
        <is>
          <t>Set your inputs once, then for each trade just type the green Entry Price cell.</t>
        </is>
      </c>
    </row>
    <row r="5" ht="22" customHeight="1">
      <c r="B5" s="3" t="inlineStr">
        <is>
          <t>1  -  SETTINGS  (edit once)</t>
        </is>
      </c>
    </row>
    <row r="6">
      <c r="B6" s="4" t="inlineStr">
        <is>
          <t>Account Balance ($)</t>
        </is>
      </c>
      <c r="C6" s="5" t="n">
        <v>2488.76</v>
      </c>
      <c r="D6" s="6" t="inlineStr">
        <is>
          <t>&lt;- your current balance used for risk sizing</t>
        </is>
      </c>
    </row>
    <row r="7">
      <c r="B7" s="4" t="inlineStr">
        <is>
          <t>Risk % per Trade</t>
        </is>
      </c>
      <c r="C7" s="7" t="n">
        <v>0.01</v>
      </c>
      <c r="D7" s="6" t="inlineStr">
        <is>
          <t>&lt;- e.g. 1.00%  (keep &lt;= 1-2%)</t>
        </is>
      </c>
    </row>
    <row r="8">
      <c r="B8" s="4" t="inlineStr">
        <is>
          <t>Instrument</t>
        </is>
      </c>
      <c r="C8" s="8" t="inlineStr">
        <is>
          <t>XAUUSD</t>
        </is>
      </c>
      <c r="D8" s="6" t="inlineStr">
        <is>
          <t>&lt;- dropdown: EURUSD / GBPUSD / XAUUSD</t>
        </is>
      </c>
    </row>
    <row r="9">
      <c r="B9" s="4" t="inlineStr">
        <is>
          <t>Direction</t>
        </is>
      </c>
      <c r="C9" s="8" t="inlineStr">
        <is>
          <t>BUY</t>
        </is>
      </c>
      <c r="D9" s="6" t="inlineStr">
        <is>
          <t>&lt;- dropdown: BUY / SELL</t>
        </is>
      </c>
    </row>
    <row r="10">
      <c r="B10" s="4" t="inlineStr">
        <is>
          <t>Stop-Loss Distance (pips)</t>
        </is>
      </c>
      <c r="C10" s="9" t="n">
        <v>25</v>
      </c>
      <c r="D10" s="6" t="inlineStr">
        <is>
          <t>&lt;- defines your risk distance</t>
        </is>
      </c>
    </row>
    <row r="11">
      <c r="B11" s="4" t="inlineStr">
        <is>
          <t>Risk : Reward  (1 : x)</t>
        </is>
      </c>
      <c r="C11" s="10" t="n">
        <v>2</v>
      </c>
      <c r="D11" s="6" t="inlineStr">
        <is>
          <t>&lt;- 1, 1.5, 2, 3, 4, 5 or custom</t>
        </is>
      </c>
    </row>
    <row r="13" ht="22" customHeight="1">
      <c r="B13" s="3" t="inlineStr">
        <is>
          <t>2  -  ENTRY  (the only thing you change per trade)</t>
        </is>
      </c>
    </row>
    <row r="14" ht="24" customHeight="1">
      <c r="B14" s="11" t="inlineStr">
        <is>
          <t>Entry Price</t>
        </is>
      </c>
      <c r="C14" s="12" t="n">
        <v>2350</v>
      </c>
      <c r="D14" s="6" t="inlineStr">
        <is>
          <t>&lt;- TYPE YOUR ENTRY HERE</t>
        </is>
      </c>
    </row>
    <row r="16" ht="22" customHeight="1">
      <c r="B16" s="3" t="inlineStr">
        <is>
          <t>3  -  INSTRUMENT DATA  (auto)</t>
        </is>
      </c>
    </row>
    <row r="17">
      <c r="B17" s="4" t="inlineStr">
        <is>
          <t>Pip Size</t>
        </is>
      </c>
      <c r="C17" s="13">
        <f>VLOOKUP($C$8,Instruments!$A$2:$F$4,2,FALSE)</f>
        <v/>
      </c>
    </row>
    <row r="18">
      <c r="B18" s="4" t="inlineStr">
        <is>
          <t>Pip Value per Lot ($)</t>
        </is>
      </c>
      <c r="C18" s="14">
        <f>VLOOKUP($C$8,Instruments!$A$2:$F$4,3,FALSE)</f>
        <v/>
      </c>
    </row>
    <row r="19">
      <c r="B19" s="4" t="inlineStr">
        <is>
          <t>Price Decimals</t>
        </is>
      </c>
      <c r="C19" s="15">
        <f>VLOOKUP($C$8,Instruments!$A$2:$F$4,5,FALSE)</f>
        <v/>
      </c>
    </row>
    <row r="21" ht="22" customHeight="1">
      <c r="B21" s="3" t="inlineStr">
        <is>
          <t>4  -  RESULTS  (auto-calculated)</t>
        </is>
      </c>
    </row>
    <row r="22">
      <c r="B22" s="11" t="inlineStr">
        <is>
          <t>Stop-Loss Price</t>
        </is>
      </c>
      <c r="C22" s="16">
        <f>IF($C$9="BUY",$C$14-$C$10*$C$17,$C$14+$C$10*$C$17)</f>
        <v/>
      </c>
    </row>
    <row r="23">
      <c r="B23" s="11" t="inlineStr">
        <is>
          <t>Take-Profit Price</t>
        </is>
      </c>
      <c r="C23" s="17">
        <f>IF($C$9="BUY",$C$14+$C$10*$C$17*$C$11,$C$14-$C$10*$C$17*$C$11)</f>
        <v/>
      </c>
    </row>
    <row r="24">
      <c r="B24" s="4" t="inlineStr">
        <is>
          <t>Stop Distance (price)</t>
        </is>
      </c>
      <c r="C24" s="18">
        <f>$C$10*$C$17</f>
        <v/>
      </c>
    </row>
    <row r="25">
      <c r="B25" s="4" t="inlineStr">
        <is>
          <t>Reward Distance (pips)</t>
        </is>
      </c>
      <c r="C25" s="19">
        <f>$C$10*$C$11</f>
        <v/>
      </c>
    </row>
    <row r="26">
      <c r="B26" s="4" t="inlineStr">
        <is>
          <t>Dollar Risk ($)</t>
        </is>
      </c>
      <c r="C26" s="20">
        <f>$C$6*$C$7</f>
        <v/>
      </c>
    </row>
    <row r="27">
      <c r="B27" s="4" t="inlineStr">
        <is>
          <t>Recommended Lot (raw)</t>
        </is>
      </c>
      <c r="C27" s="21">
        <f>IF($C$10*$C$18=0,0,$C$26/($C$10*$C$18))</f>
        <v/>
      </c>
    </row>
    <row r="28">
      <c r="B28" s="11" t="inlineStr">
        <is>
          <t>Recommended Lot Size</t>
        </is>
      </c>
      <c r="C28" s="22">
        <f>ROUND($C$27,2)</f>
        <v/>
      </c>
    </row>
    <row r="29">
      <c r="B29" s="4" t="inlineStr">
        <is>
          <t>Actual Risk at Lot ($)</t>
        </is>
      </c>
      <c r="C29" s="23">
        <f>$C$28*$C$10*$C$18</f>
        <v/>
      </c>
    </row>
    <row r="30">
      <c r="B30" s="11" t="inlineStr">
        <is>
          <t>Potential Profit ($)</t>
        </is>
      </c>
      <c r="C30" s="24">
        <f>$C$29*$C$11</f>
        <v/>
      </c>
    </row>
    <row r="31">
      <c r="B31" s="4" t="inlineStr">
        <is>
          <t>Risk : Reward</t>
        </is>
      </c>
      <c r="C31" s="25">
        <f>"1 : "&amp;TEXT($C$11,"0.##")</f>
        <v/>
      </c>
    </row>
    <row r="33" ht="22" customHeight="1">
      <c r="B33" s="3" t="inlineStr">
        <is>
          <t>5  -  PROP-FIRM RULE CHECK  (optional)</t>
        </is>
      </c>
    </row>
    <row r="34">
      <c r="B34" s="4" t="inlineStr">
        <is>
          <t>Starting Balance ($)</t>
        </is>
      </c>
      <c r="C34" s="26" t="n">
        <v>2500</v>
      </c>
    </row>
    <row r="35">
      <c r="B35" s="4" t="inlineStr">
        <is>
          <t>Current Equity ($)</t>
        </is>
      </c>
      <c r="C35" s="26" t="n">
        <v>2488.76</v>
      </c>
    </row>
    <row r="36">
      <c r="B36" s="4" t="inlineStr">
        <is>
          <t>Daily Drawdown Limit (%)</t>
        </is>
      </c>
      <c r="C36" s="27" t="n">
        <v>0.03</v>
      </c>
    </row>
    <row r="37">
      <c r="B37" s="4" t="inlineStr">
        <is>
          <t>Max Drawdown Limit (%)</t>
        </is>
      </c>
      <c r="C37" s="27" t="n">
        <v>0.06</v>
      </c>
    </row>
    <row r="38">
      <c r="B38" s="4" t="inlineStr">
        <is>
          <t>Profit Target (%)</t>
        </is>
      </c>
      <c r="C38" s="27" t="n">
        <v>0.03</v>
      </c>
    </row>
    <row r="39">
      <c r="B39" s="4" t="inlineStr">
        <is>
          <t>Remaining Daily Drawdown ($)</t>
        </is>
      </c>
      <c r="C39" s="28">
        <f>MAX(0,$C$35-($C$6-$C$34*$C$36))</f>
        <v/>
      </c>
    </row>
    <row r="40">
      <c r="B40" s="4" t="inlineStr">
        <is>
          <t>Remaining Max Drawdown ($)</t>
        </is>
      </c>
      <c r="C40" s="23">
        <f>MAX(0,$C$35-($C$34*(1-$C$37)))</f>
        <v/>
      </c>
    </row>
    <row r="41">
      <c r="B41" s="4" t="inlineStr">
        <is>
          <t>Losing Trades left (Daily)</t>
        </is>
      </c>
      <c r="C41" s="15">
        <f>IF($C$29&lt;=0,0,FLOOR($C$39/$C$29,1))</f>
        <v/>
      </c>
    </row>
    <row r="42">
      <c r="B42" s="4" t="inlineStr">
        <is>
          <t>Losing Trades left (Max)</t>
        </is>
      </c>
      <c r="C42" s="15">
        <f>IF($C$29&lt;=0,0,FLOOR($C$40/$C$29,1))</f>
        <v/>
      </c>
    </row>
    <row r="43">
      <c r="B43" s="11" t="inlineStr">
        <is>
          <t>Losing Trades remaining</t>
        </is>
      </c>
      <c r="C43" s="29">
        <f>MIN($C$41,$C$42)</f>
        <v/>
      </c>
    </row>
    <row r="44">
      <c r="B44" s="4" t="inlineStr">
        <is>
          <t>Profit Target ($)</t>
        </is>
      </c>
      <c r="C44" s="14">
        <f>$C$34*$C$38</f>
        <v/>
      </c>
    </row>
    <row r="45">
      <c r="B45" s="4" t="inlineStr">
        <is>
          <t>Amount to Reach Target ($)</t>
        </is>
      </c>
      <c r="C45" s="30">
        <f>MAX(0,($C$34+$C$44)-$C$6)</f>
        <v/>
      </c>
    </row>
    <row r="46">
      <c r="B46" s="11" t="inlineStr">
        <is>
          <t>Winning Trades to Pass</t>
        </is>
      </c>
      <c r="C46" s="31">
        <f>IF($C$30&lt;=0,"-",ROUNDUP($C$45/$C$30,0))</f>
        <v/>
      </c>
    </row>
    <row r="48">
      <c r="B48" s="6" t="inlineStr">
        <is>
          <t>Formulas recalc instantly. This tool is for planning only - confirm pip values &amp; rules with your broker / prop firm.</t>
        </is>
      </c>
    </row>
  </sheetData>
  <mergeCells count="7">
    <mergeCell ref="B33:D33"/>
    <mergeCell ref="B3:D3"/>
    <mergeCell ref="B5:D5"/>
    <mergeCell ref="B2:D2"/>
    <mergeCell ref="B13:D13"/>
    <mergeCell ref="B21:D21"/>
    <mergeCell ref="B16:D16"/>
  </mergeCells>
  <dataValidations count="3">
    <dataValidation sqref="C8" showDropDown="0" showInputMessage="0" showErrorMessage="0" allowBlank="0" type="list">
      <formula1>"EURUSD,GBPUSD,XAUUSD"</formula1>
    </dataValidation>
    <dataValidation sqref="C9" showDropDown="0" showInputMessage="0" showErrorMessage="0" allowBlank="0" type="list">
      <formula1>"BUY,SELL"</formula1>
    </dataValidation>
    <dataValidation sqref="C11" showDropDown="0" showInputMessage="0" showErrorMessage="0" allowBlank="1" type="list">
      <formula1>"1,1.5,2,3,4,5"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6" customWidth="1" min="9" max="9"/>
    <col width="20" customWidth="1" min="10" max="10"/>
  </cols>
  <sheetData>
    <row r="2" ht="30" customHeight="1">
      <c r="B2" s="32" t="inlineStr">
        <is>
          <t>TRADE PLANNER  -  enter Direction + Entry Price on each row</t>
        </is>
      </c>
    </row>
    <row r="4" ht="22" customHeight="1">
      <c r="B4" s="3" t="inlineStr">
        <is>
          <t>SETTINGS</t>
        </is>
      </c>
    </row>
    <row r="5">
      <c r="B5" s="4" t="inlineStr">
        <is>
          <t>Account Balance ($)</t>
        </is>
      </c>
      <c r="C5" s="5" t="n">
        <v>2488.76</v>
      </c>
      <c r="E5" s="4" t="inlineStr">
        <is>
          <t>Pip Size:</t>
        </is>
      </c>
      <c r="F5" s="13">
        <f>VLOOKUP($C$7,Instruments!$A$2:$F$4,2,FALSE)</f>
        <v/>
      </c>
    </row>
    <row r="6">
      <c r="B6" s="4" t="inlineStr">
        <is>
          <t>Risk % per Trade</t>
        </is>
      </c>
      <c r="C6" s="7" t="n">
        <v>0.01</v>
      </c>
      <c r="E6" s="4" t="inlineStr">
        <is>
          <t>Pip Value / Lot:</t>
        </is>
      </c>
      <c r="F6" s="14">
        <f>VLOOKUP($C$7,Instruments!$A$2:$F$4,3,FALSE)</f>
        <v/>
      </c>
    </row>
    <row r="7">
      <c r="B7" s="4" t="inlineStr">
        <is>
          <t>Instrument</t>
        </is>
      </c>
      <c r="C7" s="8" t="inlineStr">
        <is>
          <t>XAUUSD</t>
        </is>
      </c>
      <c r="E7" s="4" t="inlineStr">
        <is>
          <t>Dollar Risk / Trade:</t>
        </is>
      </c>
      <c r="F7" s="20">
        <f>$C$5*$C$6</f>
        <v/>
      </c>
    </row>
    <row r="8">
      <c r="B8" s="4" t="inlineStr">
        <is>
          <t>Stop-Loss (pips)</t>
        </is>
      </c>
      <c r="C8" s="9" t="n">
        <v>25</v>
      </c>
    </row>
    <row r="9">
      <c r="B9" s="4" t="inlineStr">
        <is>
          <t>Risk : Reward (1 : x)</t>
        </is>
      </c>
      <c r="C9" s="10" t="n">
        <v>2</v>
      </c>
    </row>
    <row r="11" ht="20" customHeight="1">
      <c r="B11" s="33" t="inlineStr">
        <is>
          <t>#</t>
        </is>
      </c>
      <c r="C11" s="33" t="inlineStr">
        <is>
          <t>Direction</t>
        </is>
      </c>
      <c r="D11" s="33" t="inlineStr">
        <is>
          <t>Entry Price</t>
        </is>
      </c>
      <c r="E11" s="33" t="inlineStr">
        <is>
          <t>Stop-Loss</t>
        </is>
      </c>
      <c r="F11" s="33" t="inlineStr">
        <is>
          <t>Take-Profit</t>
        </is>
      </c>
      <c r="G11" s="33" t="inlineStr">
        <is>
          <t>Dollar Risk</t>
        </is>
      </c>
      <c r="H11" s="33" t="inlineStr">
        <is>
          <t>Lot Size</t>
        </is>
      </c>
      <c r="I11" s="33" t="inlineStr">
        <is>
          <t>Potential Profit</t>
        </is>
      </c>
      <c r="J11" s="33" t="inlineStr">
        <is>
          <t>Notes</t>
        </is>
      </c>
    </row>
    <row r="12">
      <c r="B12" s="34" t="n">
        <v>1</v>
      </c>
      <c r="C12" s="35" t="inlineStr">
        <is>
          <t>BUY</t>
        </is>
      </c>
      <c r="D12" s="36" t="n">
        <v>2350</v>
      </c>
      <c r="E12" s="37">
        <f>IF($D12="","",IF($C12="SELL",$D12+$C$8*$F$5,$D12-$C$8*$F$5))</f>
        <v/>
      </c>
      <c r="F12" s="38">
        <f>IF($D12="","",IF($C12="SELL",$D12-$C$8*$F$5*$C$9,$D12+$C$8*$F$5*$C$9))</f>
        <v/>
      </c>
      <c r="G12" s="39">
        <f>IF($D12="","",$F$7)</f>
        <v/>
      </c>
      <c r="H12" s="40">
        <f>IF($D12="","",ROUND($F$7/($C$8*$F$6),2))</f>
        <v/>
      </c>
      <c r="I12" s="41">
        <f>IF($D12="","",$F$7*$C$9)</f>
        <v/>
      </c>
      <c r="J12" s="42" t="n"/>
    </row>
    <row r="13">
      <c r="B13" s="43" t="n">
        <v>2</v>
      </c>
      <c r="C13" s="35" t="inlineStr">
        <is>
          <t>BUY</t>
        </is>
      </c>
      <c r="D13" s="36" t="n"/>
      <c r="E13" s="44">
        <f>IF($D13="","",IF($C13="SELL",$D13+$C$8*$F$5,$D13-$C$8*$F$5))</f>
        <v/>
      </c>
      <c r="F13" s="45">
        <f>IF($D13="","",IF($C13="SELL",$D13-$C$8*$F$5*$C$9,$D13+$C$8*$F$5*$C$9))</f>
        <v/>
      </c>
      <c r="G13" s="46">
        <f>IF($D13="","",$F$7)</f>
        <v/>
      </c>
      <c r="H13" s="47">
        <f>IF($D13="","",ROUND($F$7/($C$8*$F$6),2))</f>
        <v/>
      </c>
      <c r="I13" s="48">
        <f>IF($D13="","",$F$7*$C$9)</f>
        <v/>
      </c>
      <c r="J13" s="49" t="n"/>
    </row>
    <row r="14">
      <c r="B14" s="34" t="n">
        <v>3</v>
      </c>
      <c r="C14" s="35" t="inlineStr">
        <is>
          <t>BUY</t>
        </is>
      </c>
      <c r="D14" s="36" t="n"/>
      <c r="E14" s="37">
        <f>IF($D14="","",IF($C14="SELL",$D14+$C$8*$F$5,$D14-$C$8*$F$5))</f>
        <v/>
      </c>
      <c r="F14" s="38">
        <f>IF($D14="","",IF($C14="SELL",$D14-$C$8*$F$5*$C$9,$D14+$C$8*$F$5*$C$9))</f>
        <v/>
      </c>
      <c r="G14" s="39">
        <f>IF($D14="","",$F$7)</f>
        <v/>
      </c>
      <c r="H14" s="40">
        <f>IF($D14="","",ROUND($F$7/($C$8*$F$6),2))</f>
        <v/>
      </c>
      <c r="I14" s="41">
        <f>IF($D14="","",$F$7*$C$9)</f>
        <v/>
      </c>
      <c r="J14" s="42" t="n"/>
    </row>
    <row r="15">
      <c r="B15" s="43" t="n">
        <v>4</v>
      </c>
      <c r="C15" s="35" t="inlineStr">
        <is>
          <t>BUY</t>
        </is>
      </c>
      <c r="D15" s="36" t="n"/>
      <c r="E15" s="44">
        <f>IF($D15="","",IF($C15="SELL",$D15+$C$8*$F$5,$D15-$C$8*$F$5))</f>
        <v/>
      </c>
      <c r="F15" s="45">
        <f>IF($D15="","",IF($C15="SELL",$D15-$C$8*$F$5*$C$9,$D15+$C$8*$F$5*$C$9))</f>
        <v/>
      </c>
      <c r="G15" s="46">
        <f>IF($D15="","",$F$7)</f>
        <v/>
      </c>
      <c r="H15" s="47">
        <f>IF($D15="","",ROUND($F$7/($C$8*$F$6),2))</f>
        <v/>
      </c>
      <c r="I15" s="48">
        <f>IF($D15="","",$F$7*$C$9)</f>
        <v/>
      </c>
      <c r="J15" s="49" t="n"/>
    </row>
    <row r="16">
      <c r="B16" s="34" t="n">
        <v>5</v>
      </c>
      <c r="C16" s="35" t="inlineStr">
        <is>
          <t>BUY</t>
        </is>
      </c>
      <c r="D16" s="36" t="n"/>
      <c r="E16" s="37">
        <f>IF($D16="","",IF($C16="SELL",$D16+$C$8*$F$5,$D16-$C$8*$F$5))</f>
        <v/>
      </c>
      <c r="F16" s="38">
        <f>IF($D16="","",IF($C16="SELL",$D16-$C$8*$F$5*$C$9,$D16+$C$8*$F$5*$C$9))</f>
        <v/>
      </c>
      <c r="G16" s="39">
        <f>IF($D16="","",$F$7)</f>
        <v/>
      </c>
      <c r="H16" s="40">
        <f>IF($D16="","",ROUND($F$7/($C$8*$F$6),2))</f>
        <v/>
      </c>
      <c r="I16" s="41">
        <f>IF($D16="","",$F$7*$C$9)</f>
        <v/>
      </c>
      <c r="J16" s="42" t="n"/>
    </row>
    <row r="17">
      <c r="B17" s="43" t="n">
        <v>6</v>
      </c>
      <c r="C17" s="35" t="inlineStr">
        <is>
          <t>BUY</t>
        </is>
      </c>
      <c r="D17" s="36" t="n"/>
      <c r="E17" s="44">
        <f>IF($D17="","",IF($C17="SELL",$D17+$C$8*$F$5,$D17-$C$8*$F$5))</f>
        <v/>
      </c>
      <c r="F17" s="45">
        <f>IF($D17="","",IF($C17="SELL",$D17-$C$8*$F$5*$C$9,$D17+$C$8*$F$5*$C$9))</f>
        <v/>
      </c>
      <c r="G17" s="46">
        <f>IF($D17="","",$F$7)</f>
        <v/>
      </c>
      <c r="H17" s="47">
        <f>IF($D17="","",ROUND($F$7/($C$8*$F$6),2))</f>
        <v/>
      </c>
      <c r="I17" s="48">
        <f>IF($D17="","",$F$7*$C$9)</f>
        <v/>
      </c>
      <c r="J17" s="49" t="n"/>
    </row>
    <row r="18">
      <c r="B18" s="34" t="n">
        <v>7</v>
      </c>
      <c r="C18" s="35" t="inlineStr">
        <is>
          <t>BUY</t>
        </is>
      </c>
      <c r="D18" s="36" t="n"/>
      <c r="E18" s="37">
        <f>IF($D18="","",IF($C18="SELL",$D18+$C$8*$F$5,$D18-$C$8*$F$5))</f>
        <v/>
      </c>
      <c r="F18" s="38">
        <f>IF($D18="","",IF($C18="SELL",$D18-$C$8*$F$5*$C$9,$D18+$C$8*$F$5*$C$9))</f>
        <v/>
      </c>
      <c r="G18" s="39">
        <f>IF($D18="","",$F$7)</f>
        <v/>
      </c>
      <c r="H18" s="40">
        <f>IF($D18="","",ROUND($F$7/($C$8*$F$6),2))</f>
        <v/>
      </c>
      <c r="I18" s="41">
        <f>IF($D18="","",$F$7*$C$9)</f>
        <v/>
      </c>
      <c r="J18" s="42" t="n"/>
    </row>
    <row r="19">
      <c r="B19" s="43" t="n">
        <v>8</v>
      </c>
      <c r="C19" s="35" t="inlineStr">
        <is>
          <t>BUY</t>
        </is>
      </c>
      <c r="D19" s="36" t="n"/>
      <c r="E19" s="44">
        <f>IF($D19="","",IF($C19="SELL",$D19+$C$8*$F$5,$D19-$C$8*$F$5))</f>
        <v/>
      </c>
      <c r="F19" s="45">
        <f>IF($D19="","",IF($C19="SELL",$D19-$C$8*$F$5*$C$9,$D19+$C$8*$F$5*$C$9))</f>
        <v/>
      </c>
      <c r="G19" s="46">
        <f>IF($D19="","",$F$7)</f>
        <v/>
      </c>
      <c r="H19" s="47">
        <f>IF($D19="","",ROUND($F$7/($C$8*$F$6),2))</f>
        <v/>
      </c>
      <c r="I19" s="48">
        <f>IF($D19="","",$F$7*$C$9)</f>
        <v/>
      </c>
      <c r="J19" s="49" t="n"/>
    </row>
    <row r="20">
      <c r="B20" s="34" t="n">
        <v>9</v>
      </c>
      <c r="C20" s="35" t="inlineStr">
        <is>
          <t>BUY</t>
        </is>
      </c>
      <c r="D20" s="36" t="n"/>
      <c r="E20" s="37">
        <f>IF($D20="","",IF($C20="SELL",$D20+$C$8*$F$5,$D20-$C$8*$F$5))</f>
        <v/>
      </c>
      <c r="F20" s="38">
        <f>IF($D20="","",IF($C20="SELL",$D20-$C$8*$F$5*$C$9,$D20+$C$8*$F$5*$C$9))</f>
        <v/>
      </c>
      <c r="G20" s="39">
        <f>IF($D20="","",$F$7)</f>
        <v/>
      </c>
      <c r="H20" s="40">
        <f>IF($D20="","",ROUND($F$7/($C$8*$F$6),2))</f>
        <v/>
      </c>
      <c r="I20" s="41">
        <f>IF($D20="","",$F$7*$C$9)</f>
        <v/>
      </c>
      <c r="J20" s="42" t="n"/>
    </row>
    <row r="21">
      <c r="B21" s="43" t="n">
        <v>10</v>
      </c>
      <c r="C21" s="35" t="inlineStr">
        <is>
          <t>BUY</t>
        </is>
      </c>
      <c r="D21" s="36" t="n"/>
      <c r="E21" s="44">
        <f>IF($D21="","",IF($C21="SELL",$D21+$C$8*$F$5,$D21-$C$8*$F$5))</f>
        <v/>
      </c>
      <c r="F21" s="45">
        <f>IF($D21="","",IF($C21="SELL",$D21-$C$8*$F$5*$C$9,$D21+$C$8*$F$5*$C$9))</f>
        <v/>
      </c>
      <c r="G21" s="46">
        <f>IF($D21="","",$F$7)</f>
        <v/>
      </c>
      <c r="H21" s="47">
        <f>IF($D21="","",ROUND($F$7/($C$8*$F$6),2))</f>
        <v/>
      </c>
      <c r="I21" s="48">
        <f>IF($D21="","",$F$7*$C$9)</f>
        <v/>
      </c>
      <c r="J21" s="49" t="n"/>
    </row>
    <row r="22">
      <c r="B22" s="34" t="n">
        <v>11</v>
      </c>
      <c r="C22" s="35" t="inlineStr">
        <is>
          <t>BUY</t>
        </is>
      </c>
      <c r="D22" s="36" t="n"/>
      <c r="E22" s="37">
        <f>IF($D22="","",IF($C22="SELL",$D22+$C$8*$F$5,$D22-$C$8*$F$5))</f>
        <v/>
      </c>
      <c r="F22" s="38">
        <f>IF($D22="","",IF($C22="SELL",$D22-$C$8*$F$5*$C$9,$D22+$C$8*$F$5*$C$9))</f>
        <v/>
      </c>
      <c r="G22" s="39">
        <f>IF($D22="","",$F$7)</f>
        <v/>
      </c>
      <c r="H22" s="40">
        <f>IF($D22="","",ROUND($F$7/($C$8*$F$6),2))</f>
        <v/>
      </c>
      <c r="I22" s="41">
        <f>IF($D22="","",$F$7*$C$9)</f>
        <v/>
      </c>
      <c r="J22" s="42" t="n"/>
    </row>
    <row r="23">
      <c r="B23" s="43" t="n">
        <v>12</v>
      </c>
      <c r="C23" s="35" t="inlineStr">
        <is>
          <t>BUY</t>
        </is>
      </c>
      <c r="D23" s="36" t="n"/>
      <c r="E23" s="44">
        <f>IF($D23="","",IF($C23="SELL",$D23+$C$8*$F$5,$D23-$C$8*$F$5))</f>
        <v/>
      </c>
      <c r="F23" s="45">
        <f>IF($D23="","",IF($C23="SELL",$D23-$C$8*$F$5*$C$9,$D23+$C$8*$F$5*$C$9))</f>
        <v/>
      </c>
      <c r="G23" s="46">
        <f>IF($D23="","",$F$7)</f>
        <v/>
      </c>
      <c r="H23" s="47">
        <f>IF($D23="","",ROUND($F$7/($C$8*$F$6),2))</f>
        <v/>
      </c>
      <c r="I23" s="48">
        <f>IF($D23="","",$F$7*$C$9)</f>
        <v/>
      </c>
      <c r="J23" s="49" t="n"/>
    </row>
    <row r="24">
      <c r="B24" s="34" t="n">
        <v>13</v>
      </c>
      <c r="C24" s="35" t="inlineStr">
        <is>
          <t>BUY</t>
        </is>
      </c>
      <c r="D24" s="36" t="n"/>
      <c r="E24" s="37">
        <f>IF($D24="","",IF($C24="SELL",$D24+$C$8*$F$5,$D24-$C$8*$F$5))</f>
        <v/>
      </c>
      <c r="F24" s="38">
        <f>IF($D24="","",IF($C24="SELL",$D24-$C$8*$F$5*$C$9,$D24+$C$8*$F$5*$C$9))</f>
        <v/>
      </c>
      <c r="G24" s="39">
        <f>IF($D24="","",$F$7)</f>
        <v/>
      </c>
      <c r="H24" s="40">
        <f>IF($D24="","",ROUND($F$7/($C$8*$F$6),2))</f>
        <v/>
      </c>
      <c r="I24" s="41">
        <f>IF($D24="","",$F$7*$C$9)</f>
        <v/>
      </c>
      <c r="J24" s="42" t="n"/>
    </row>
    <row r="25">
      <c r="B25" s="43" t="n">
        <v>14</v>
      </c>
      <c r="C25" s="35" t="inlineStr">
        <is>
          <t>BUY</t>
        </is>
      </c>
      <c r="D25" s="36" t="n"/>
      <c r="E25" s="44">
        <f>IF($D25="","",IF($C25="SELL",$D25+$C$8*$F$5,$D25-$C$8*$F$5))</f>
        <v/>
      </c>
      <c r="F25" s="45">
        <f>IF($D25="","",IF($C25="SELL",$D25-$C$8*$F$5*$C$9,$D25+$C$8*$F$5*$C$9))</f>
        <v/>
      </c>
      <c r="G25" s="46">
        <f>IF($D25="","",$F$7)</f>
        <v/>
      </c>
      <c r="H25" s="47">
        <f>IF($D25="","",ROUND($F$7/($C$8*$F$6),2))</f>
        <v/>
      </c>
      <c r="I25" s="48">
        <f>IF($D25="","",$F$7*$C$9)</f>
        <v/>
      </c>
      <c r="J25" s="49" t="n"/>
    </row>
    <row r="26">
      <c r="B26" s="34" t="n">
        <v>15</v>
      </c>
      <c r="C26" s="35" t="inlineStr">
        <is>
          <t>BUY</t>
        </is>
      </c>
      <c r="D26" s="36" t="n"/>
      <c r="E26" s="37">
        <f>IF($D26="","",IF($C26="SELL",$D26+$C$8*$F$5,$D26-$C$8*$F$5))</f>
        <v/>
      </c>
      <c r="F26" s="38">
        <f>IF($D26="","",IF($C26="SELL",$D26-$C$8*$F$5*$C$9,$D26+$C$8*$F$5*$C$9))</f>
        <v/>
      </c>
      <c r="G26" s="39">
        <f>IF($D26="","",$F$7)</f>
        <v/>
      </c>
      <c r="H26" s="40">
        <f>IF($D26="","",ROUND($F$7/($C$8*$F$6),2))</f>
        <v/>
      </c>
      <c r="I26" s="41">
        <f>IF($D26="","",$F$7*$C$9)</f>
        <v/>
      </c>
      <c r="J26" s="42" t="n"/>
    </row>
    <row r="28">
      <c r="B28" s="6" t="inlineStr">
        <is>
          <t>Tip: copy a row down to add more trades. Change the SETTINGS block to re-size every row at once.</t>
        </is>
      </c>
    </row>
  </sheetData>
  <mergeCells count="2">
    <mergeCell ref="B4:C4"/>
    <mergeCell ref="B2:J2"/>
  </mergeCells>
  <dataValidations count="3">
    <dataValidation sqref="C7" showDropDown="0" showInputMessage="0" showErrorMessage="0" allowBlank="0" type="list">
      <formula1>"EURUSD,GBPUSD,XAUUSD"</formula1>
    </dataValidation>
    <dataValidation sqref="C12:C26" showDropDown="0" showInputMessage="0" showErrorMessage="0" allowBlank="0" type="list">
      <formula1>"BUY,SELL"</formula1>
    </dataValidation>
    <dataValidation sqref="C9" showDropDown="0" showInputMessage="0" showErrorMessage="0" allowBlank="1" type="list">
      <formula1>"1,1.5,2,3,4,5"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748B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4" customWidth="1" min="4" max="4"/>
    <col width="14" customWidth="1" min="5" max="5"/>
    <col width="16" customWidth="1" min="6" max="6"/>
  </cols>
  <sheetData>
    <row r="1">
      <c r="A1" s="33" t="inlineStr">
        <is>
          <t>Symbol</t>
        </is>
      </c>
      <c r="B1" s="33" t="inlineStr">
        <is>
          <t>Pip Size</t>
        </is>
      </c>
      <c r="C1" s="33" t="inlineStr">
        <is>
          <t>Pip Value / Lot ($)</t>
        </is>
      </c>
      <c r="D1" s="33" t="inlineStr">
        <is>
          <t>Contract Size</t>
        </is>
      </c>
      <c r="E1" s="33" t="inlineStr">
        <is>
          <t>Price Decimals</t>
        </is>
      </c>
      <c r="F1" s="33" t="inlineStr">
        <is>
          <t>Reference Price</t>
        </is>
      </c>
    </row>
    <row r="2">
      <c r="A2" s="50" t="inlineStr">
        <is>
          <t>EURUSD</t>
        </is>
      </c>
      <c r="B2" s="51" t="n">
        <v>0.0001</v>
      </c>
      <c r="C2" s="52" t="n">
        <v>10</v>
      </c>
      <c r="D2" s="53" t="n">
        <v>100000</v>
      </c>
      <c r="E2" s="53" t="n">
        <v>5</v>
      </c>
      <c r="F2" s="54" t="n">
        <v>1.085</v>
      </c>
    </row>
    <row r="3">
      <c r="A3" s="50" t="inlineStr">
        <is>
          <t>GBPUSD</t>
        </is>
      </c>
      <c r="B3" s="51" t="n">
        <v>0.0001</v>
      </c>
      <c r="C3" s="52" t="n">
        <v>10</v>
      </c>
      <c r="D3" s="53" t="n">
        <v>100000</v>
      </c>
      <c r="E3" s="53" t="n">
        <v>5</v>
      </c>
      <c r="F3" s="54" t="n">
        <v>1.27</v>
      </c>
    </row>
    <row r="4">
      <c r="A4" s="50" t="inlineStr">
        <is>
          <t>XAUUSD</t>
        </is>
      </c>
      <c r="B4" s="51" t="n">
        <v>0.1</v>
      </c>
      <c r="C4" s="52" t="n">
        <v>10</v>
      </c>
      <c r="D4" s="53" t="n">
        <v>100</v>
      </c>
      <c r="E4" s="53" t="n">
        <v>2</v>
      </c>
      <c r="F4" s="54" t="n">
        <v>2350</v>
      </c>
    </row>
    <row r="6">
      <c r="A6" s="55" t="inlineStr">
        <is>
          <t>Note: For these USD-quoted pairs, 1 pip per standard lot = $10. Gold (XAUUSD) assumes a 100-oz contract where a $0.10 move = $10/lot. Adjust these values to match your broker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2026-06-12T14:35:52Z</dcterms:created>
  <dcterms:modified xsi:type="dcterms:W3CDTF">2026-06-12T14:35:52Z</dcterms:modified>
</cp:coreProperties>
</file>